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<sst xmlns="http://schemas.openxmlformats.org/spreadsheetml/2006/main" count="19" uniqueCount="19">
  <si>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Given the data set</t>
  </si>
  <si>
    <t>Staffing Situation</t>
  </si>
  <si>
    <t>Number</t>
  </si>
  <si>
    <t>step 1:</t>
  </si>
  <si>
    <t>Ho: Fn(x) = Fo(x)</t>
  </si>
  <si>
    <t>Ha: Fn(x) is not equal to Fo(x)</t>
  </si>
  <si>
    <t>step 2:</t>
  </si>
  <si>
    <t>staffing situation (k)</t>
  </si>
  <si>
    <t>Number (observed)</t>
  </si>
  <si>
    <t>thoritical</t>
  </si>
  <si>
    <t>Fo(x) cdf</t>
  </si>
  <si>
    <t>Fn(x) cdf</t>
  </si>
  <si>
    <t>max=|Fo(x)-Fn(x)|</t>
  </si>
  <si>
    <t>step3:</t>
  </si>
  <si>
    <t>D= 0.2833</t>
  </si>
  <si>
    <t>cal &lt; tab</t>
  </si>
  <si>
    <t>Ho is accepted</t>
  </si>
  <si>
    <t>step 4:</t>
  </si>
  <si>
    <t>since null hypothesis is accepted therefore we conclude that Fn(x) = Fo(x)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</si>
</sst>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0" fillId="0" borderId="7" xfId="0" applyBorder="1"/>
    <xf numFmtId="0" fontId="1" fillId="0" borderId="7" xfId="0" applyFont="1" applyFill="1" applyBorder="1" applyAlignment="1">
      <alignment vertical="center" wrapText="1"/>
    </xf>
    <xf numFmtId="0" fontId="0" fillId="2" borderId="7" xfId="0" applyFill="1" applyBorder="1"/>
    <xf numFmtId="0" fontId="0" fillId="0" borderId="7" xfId="0" applyNumberForma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2"/>
  <sheetViews>
    <sheetView tabSelected="1" topLeftCell="A6" workbookViewId="0">
      <selection activeCell="I13" sqref="I13"/>
    </sheetView>
  </sheetViews>
  <sheetFormatPr defaultColWidth="9" defaultRowHeight="14.5" outlineLevelCol="7"/>
  <cols>
    <col min="7" max="7" width="15.6636363636364" customWidth="1"/>
  </cols>
  <sheetData>
    <row r="2" ht="15.25" spans="2:2">
      <c r="B2" t="s">
        <v>0</v>
      </c>
    </row>
    <row r="3" ht="28.75" spans="2:8">
      <c r="B3" s="1" t="s">
        <v>1</v>
      </c>
      <c r="C3" s="2">
        <v>1</v>
      </c>
      <c r="D3" s="2">
        <v>2</v>
      </c>
      <c r="E3" s="2">
        <v>3</v>
      </c>
      <c r="F3" s="2">
        <v>4</v>
      </c>
      <c r="G3" s="3">
        <v>5</v>
      </c>
      <c r="H3" s="4"/>
    </row>
    <row r="4" ht="15.25" spans="2:8">
      <c r="B4" s="5" t="s">
        <v>2</v>
      </c>
      <c r="C4" s="6">
        <v>265</v>
      </c>
      <c r="D4" s="6">
        <v>140</v>
      </c>
      <c r="E4" s="6">
        <v>125</v>
      </c>
      <c r="F4" s="6">
        <v>50</v>
      </c>
      <c r="G4" s="7">
        <v>20</v>
      </c>
      <c r="H4" s="4"/>
    </row>
    <row r="5" spans="2:8">
      <c r="B5" s="4"/>
      <c r="C5" s="4"/>
      <c r="D5" s="4"/>
      <c r="E5" s="4"/>
      <c r="F5" s="4"/>
      <c r="G5" s="4"/>
      <c r="H5" s="4"/>
    </row>
    <row r="6" ht="56" spans="1:8">
      <c r="A6" t="s">
        <v>3</v>
      </c>
      <c r="B6" s="4" t="s">
        <v>4</v>
      </c>
      <c r="C6" s="4" t="s">
        <v>5</v>
      </c>
      <c r="D6" s="4"/>
      <c r="E6" s="4"/>
      <c r="F6" s="4"/>
      <c r="G6" s="4"/>
      <c r="H6" s="4"/>
    </row>
    <row r="7" spans="2:8">
      <c r="B7" s="4"/>
      <c r="C7" s="4"/>
      <c r="D7" s="4"/>
      <c r="E7" s="4"/>
      <c r="F7" s="4"/>
      <c r="G7" s="4"/>
      <c r="H7" s="4"/>
    </row>
    <row r="8" spans="1:1">
      <c r="A8" t="s">
        <v>6</v>
      </c>
    </row>
    <row r="9" ht="42" spans="2:7">
      <c r="B9" s="8" t="s">
        <v>7</v>
      </c>
      <c r="C9" s="8" t="s">
        <v>8</v>
      </c>
      <c r="D9" s="8" t="s">
        <v>9</v>
      </c>
      <c r="E9" s="9" t="s">
        <v>10</v>
      </c>
      <c r="F9" s="9" t="s">
        <v>11</v>
      </c>
      <c r="G9" s="10" t="s">
        <v>12</v>
      </c>
    </row>
    <row r="10" spans="2:7">
      <c r="B10" s="8">
        <v>1</v>
      </c>
      <c r="C10" s="8">
        <v>265</v>
      </c>
      <c r="D10" s="8">
        <f>600/5</f>
        <v>120</v>
      </c>
      <c r="E10" s="9">
        <f>265/600</f>
        <v>0.441666666666667</v>
      </c>
      <c r="F10" s="9">
        <f>120/600</f>
        <v>0.2</v>
      </c>
      <c r="G10" s="9">
        <f>ABS(E10-F10)</f>
        <v>0.241666666666667</v>
      </c>
    </row>
    <row r="11" spans="2:7">
      <c r="B11" s="8">
        <v>2</v>
      </c>
      <c r="C11" s="8">
        <v>140</v>
      </c>
      <c r="D11" s="8">
        <f t="shared" ref="D11:D14" si="0">600/5</f>
        <v>120</v>
      </c>
      <c r="E11" s="9">
        <f>(265+140)/600</f>
        <v>0.675</v>
      </c>
      <c r="F11" s="9">
        <f>(120+120)/600</f>
        <v>0.4</v>
      </c>
      <c r="G11" s="9">
        <f t="shared" ref="G11:G14" si="1">ABS(E11-F11)</f>
        <v>0.275</v>
      </c>
    </row>
    <row r="12" spans="2:7">
      <c r="B12" s="8">
        <v>3</v>
      </c>
      <c r="C12" s="8">
        <v>125</v>
      </c>
      <c r="D12" s="8">
        <f t="shared" si="0"/>
        <v>120</v>
      </c>
      <c r="E12" s="9">
        <f>(265+140+125)/600</f>
        <v>0.883333333333333</v>
      </c>
      <c r="F12" s="9">
        <f>(120+120+120)/600</f>
        <v>0.6</v>
      </c>
      <c r="G12" s="11">
        <f t="shared" si="1"/>
        <v>0.283333333333333</v>
      </c>
    </row>
    <row r="13" spans="2:7">
      <c r="B13" s="8">
        <v>4</v>
      </c>
      <c r="C13" s="8">
        <v>50</v>
      </c>
      <c r="D13" s="8">
        <f t="shared" si="0"/>
        <v>120</v>
      </c>
      <c r="E13" s="9">
        <f>(265+140+125+50)/600</f>
        <v>0.966666666666667</v>
      </c>
      <c r="F13" s="9">
        <f>(120+120+120+120)/600</f>
        <v>0.8</v>
      </c>
      <c r="G13" s="9">
        <f t="shared" si="1"/>
        <v>0.166666666666667</v>
      </c>
    </row>
    <row r="14" spans="2:7">
      <c r="B14" s="8">
        <v>5</v>
      </c>
      <c r="C14" s="8">
        <v>20</v>
      </c>
      <c r="D14" s="8">
        <f t="shared" si="0"/>
        <v>120</v>
      </c>
      <c r="E14" s="12">
        <f>(265+140+125+50+20)/600</f>
        <v>1</v>
      </c>
      <c r="F14" s="9">
        <f>(120+120+120+120+120)/600</f>
        <v>1</v>
      </c>
      <c r="G14" s="9">
        <f t="shared" si="1"/>
        <v>0</v>
      </c>
    </row>
    <row r="15" spans="2:7">
      <c r="B15" s="9"/>
      <c r="C15" s="9">
        <f>SUM(C10:C14)</f>
        <v>600</v>
      </c>
      <c r="D15" s="9"/>
      <c r="E15" s="9"/>
      <c r="F15" s="9"/>
      <c r="G15" s="9"/>
    </row>
    <row r="16" spans="2:4">
      <c r="B16" s="9"/>
      <c r="C16" s="9"/>
      <c r="D16" s="9"/>
    </row>
    <row r="17" spans="2:4">
      <c r="B17" s="9"/>
      <c r="C17" s="9"/>
      <c r="D17" s="9"/>
    </row>
    <row r="19" spans="1:4">
      <c r="A19" t="s">
        <v>13</v>
      </c>
      <c r="B19" s="9" t="s">
        <v>14</v>
      </c>
      <c r="C19" s="9" t="s">
        <v>15</v>
      </c>
      <c r="D19" s="9">
        <v>0.56327</v>
      </c>
    </row>
    <row r="20" spans="2:4">
      <c r="B20" s="9" t="s">
        <v>16</v>
      </c>
      <c r="C20" s="9"/>
      <c r="D20" s="9"/>
    </row>
    <row r="22" spans="1:2">
      <c r="A22" t="s">
        <v>17</v>
      </c>
      <c r="B22" t="s">
        <v>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PMYLS</cp:lastModifiedBy>
  <dcterms:created xsi:type="dcterms:W3CDTF">2024-11-01T20:12:00Z</dcterms:created>
  <dcterms:modified xsi:type="dcterms:W3CDTF">2025-12-01T12:06:03Z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735AD8E5A35A4001805CD2AB02119D1C_12</vt:lpwstr>
  </property>
  <property fmtid="{D5CDD505-2E9C-101B-9397-08002B2CF9AE}" pid="3" name="KSOProductBuildVer">
    <vt:lpwstr>1033-12.2.0.23155</vt:lpwstr>
  </property>
</Properties>
</file>